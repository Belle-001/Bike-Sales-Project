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5754EBCD-202D-43FE-BDB4-65CCC4626129}" xr6:coauthVersionLast="47" xr6:coauthVersionMax="47" xr10:uidLastSave="{00000000-0000-0000-0000-000000000000}"/>
  <bookViews>
    <workbookView xWindow="-120" yWindow="-120" windowWidth="20730" windowHeight="11160" xr2:uid="{00000000-000D-0000-FFFF-FFFF00000000}"/>
  </bookViews>
  <sheets>
    <sheet name="bike_buyers" sheetId="1" r:id="rId1"/>
    <sheet name="Working Sheet" sheetId="2" r:id="rId2"/>
    <sheet name="Sheet1" sheetId="5" state="hidden" r:id="rId3"/>
    <sheet name="Pivot Table" sheetId="3" r:id="rId4"/>
    <sheet name="Dashboard" sheetId="4" r:id="rId5"/>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alcChain>
</file>

<file path=xl/sharedStrings.xml><?xml version="1.0" encoding="utf-8"?>
<sst xmlns="http://schemas.openxmlformats.org/spreadsheetml/2006/main" count="16902" uniqueCount="53">
  <si>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</si>
  <si>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</si>
  <si>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</si>
  <si>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</si>
  <si>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</si>
  <si>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</si>
  <si>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</si>
  <si>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</si>
  <si>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</si>
  <si>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</si>
  <si>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</si>
  <si>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</si>
  <si>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</si>
  <si>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</si>
  <si>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</si>
  <si>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</si>
  <si>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</si>
  <si>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</si>
  <si>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</si>
  <si>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</si>
  <si>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</si>
  <si>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</si>
  <si>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</si>
  <si>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</si>
  <si>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</si>
  <si>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</si>
  <si>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</si>
  <si>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</si>
  <si>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</si>
  <si>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</si>
  <si>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</si>
  <si>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</si>
  <si>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</si>
  <si>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</si>
  <si>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</si>
  <si>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</si>
  <si>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</si>
  <si>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</si>
  <si>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</si>
  <si>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</si>
  <si>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</si>
  <si>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</si>
  <si>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</si>
  <si>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</si>
  <si>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</si>
  <si>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</si>
  <si>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</si>
  <si>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Adult</t>
  </si>
  <si>
    <t>Old</t>
  </si>
  <si>
    <t>Middle Age</t>
  </si>
  <si>
    <t>,</t>
  </si>
  <si>
    <t>BIKE SALES DASHBOARD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</si>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</sst>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Avg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35777.777777777781</c:v>
                </c:pt>
                <c:pt idx="1">
                  <c:v>31351.35135135135</c:v>
                </c:pt>
              </c:numCache>
            </c:numRef>
          </c:val>
          <c:extLst>
            <c:ext xmlns:c16="http://schemas.microsoft.com/office/drawing/2014/chart" uri="{C3380CC4-5D6E-409C-BE32-E72D297353CC}">
              <c16:uniqueId val="{00000000-6B69-465C-BFB7-32DF118941C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28444.444444444445</c:v>
                </c:pt>
                <c:pt idx="1">
                  <c:v>38000</c:v>
                </c:pt>
              </c:numCache>
            </c:numRef>
          </c:val>
          <c:extLst>
            <c:ext xmlns:c16="http://schemas.microsoft.com/office/drawing/2014/chart" uri="{C3380CC4-5D6E-409C-BE32-E72D297353CC}">
              <c16:uniqueId val="{00000001-6B69-465C-BFB7-32DF118941C5}"/>
            </c:ext>
          </c:extLst>
        </c:ser>
        <c:dLbls>
          <c:showLegendKey val="0"/>
          <c:showVal val="0"/>
          <c:showCatName val="0"/>
          <c:showSerName val="0"/>
          <c:showPercent val="0"/>
          <c:showBubbleSize val="0"/>
        </c:dLbls>
        <c:gapWidth val="219"/>
        <c:overlap val="-27"/>
        <c:axId val="175960751"/>
        <c:axId val="175966575"/>
      </c:barChart>
      <c:catAx>
        <c:axId val="17596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66575"/>
        <c:crosses val="autoZero"/>
        <c:auto val="1"/>
        <c:lblAlgn val="ctr"/>
        <c:lblOffset val="100"/>
        <c:noMultiLvlLbl val="0"/>
      </c:catAx>
      <c:valAx>
        <c:axId val="175966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60751"/>
        <c:crosses val="autoZero"/>
        <c:crossBetween val="between"/>
        <c:majorUnit val="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35</c:v>
                </c:pt>
                <c:pt idx="1">
                  <c:v>15</c:v>
                </c:pt>
                <c:pt idx="2">
                  <c:v>19</c:v>
                </c:pt>
                <c:pt idx="3">
                  <c:v>6</c:v>
                </c:pt>
                <c:pt idx="4">
                  <c:v>7</c:v>
                </c:pt>
              </c:numCache>
            </c:numRef>
          </c:val>
          <c:smooth val="0"/>
          <c:extLst>
            <c:ext xmlns:c16="http://schemas.microsoft.com/office/drawing/2014/chart" uri="{C3380CC4-5D6E-409C-BE32-E72D297353CC}">
              <c16:uniqueId val="{00000000-170D-4EA5-98B7-BA769B901FA4}"/>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55</c:v>
                </c:pt>
                <c:pt idx="1">
                  <c:v>12</c:v>
                </c:pt>
                <c:pt idx="2">
                  <c:v>11</c:v>
                </c:pt>
                <c:pt idx="3">
                  <c:v>2</c:v>
                </c:pt>
              </c:numCache>
            </c:numRef>
          </c:val>
          <c:smooth val="0"/>
          <c:extLst>
            <c:ext xmlns:c16="http://schemas.microsoft.com/office/drawing/2014/chart" uri="{C3380CC4-5D6E-409C-BE32-E72D297353CC}">
              <c16:uniqueId val="{00000001-170D-4EA5-98B7-BA769B901FA4}"/>
            </c:ext>
          </c:extLst>
        </c:ser>
        <c:dLbls>
          <c:showLegendKey val="0"/>
          <c:showVal val="0"/>
          <c:showCatName val="0"/>
          <c:showSerName val="0"/>
          <c:showPercent val="0"/>
          <c:showBubbleSize val="0"/>
        </c:dLbls>
        <c:smooth val="0"/>
        <c:axId val="294316735"/>
        <c:axId val="294321311"/>
      </c:lineChart>
      <c:catAx>
        <c:axId val="29431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21311"/>
        <c:crosses val="autoZero"/>
        <c:auto val="1"/>
        <c:lblAlgn val="ctr"/>
        <c:lblOffset val="100"/>
        <c:noMultiLvlLbl val="0"/>
      </c:catAx>
      <c:valAx>
        <c:axId val="29432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1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per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Adult</c:v>
                </c:pt>
                <c:pt idx="1">
                  <c:v>Middle Age</c:v>
                </c:pt>
                <c:pt idx="2">
                  <c:v>Old</c:v>
                </c:pt>
              </c:strCache>
            </c:strRef>
          </c:cat>
          <c:val>
            <c:numRef>
              <c:f>'Pivot Table'!$B$39:$B$42</c:f>
              <c:numCache>
                <c:formatCode>General</c:formatCode>
                <c:ptCount val="3"/>
                <c:pt idx="0">
                  <c:v>21</c:v>
                </c:pt>
                <c:pt idx="1">
                  <c:v>50</c:v>
                </c:pt>
                <c:pt idx="2">
                  <c:v>11</c:v>
                </c:pt>
              </c:numCache>
            </c:numRef>
          </c:val>
          <c:smooth val="0"/>
          <c:extLst>
            <c:ext xmlns:c16="http://schemas.microsoft.com/office/drawing/2014/chart" uri="{C3380CC4-5D6E-409C-BE32-E72D297353CC}">
              <c16:uniqueId val="{00000000-63C5-448F-9C1B-E802C12A787F}"/>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Adult</c:v>
                </c:pt>
                <c:pt idx="1">
                  <c:v>Middle Age</c:v>
                </c:pt>
                <c:pt idx="2">
                  <c:v>Old</c:v>
                </c:pt>
              </c:strCache>
            </c:strRef>
          </c:cat>
          <c:val>
            <c:numRef>
              <c:f>'Pivot Table'!$C$39:$C$42</c:f>
              <c:numCache>
                <c:formatCode>General</c:formatCode>
                <c:ptCount val="3"/>
                <c:pt idx="0">
                  <c:v>9</c:v>
                </c:pt>
                <c:pt idx="1">
                  <c:v>69</c:v>
                </c:pt>
                <c:pt idx="2">
                  <c:v>2</c:v>
                </c:pt>
              </c:numCache>
            </c:numRef>
          </c:val>
          <c:smooth val="0"/>
          <c:extLst>
            <c:ext xmlns:c16="http://schemas.microsoft.com/office/drawing/2014/chart" uri="{C3380CC4-5D6E-409C-BE32-E72D297353CC}">
              <c16:uniqueId val="{00000001-63C5-448F-9C1B-E802C12A787F}"/>
            </c:ext>
          </c:extLst>
        </c:ser>
        <c:dLbls>
          <c:showLegendKey val="0"/>
          <c:showVal val="0"/>
          <c:showCatName val="0"/>
          <c:showSerName val="0"/>
          <c:showPercent val="0"/>
          <c:showBubbleSize val="0"/>
        </c:dLbls>
        <c:marker val="1"/>
        <c:smooth val="0"/>
        <c:axId val="309538623"/>
        <c:axId val="309536959"/>
      </c:lineChart>
      <c:catAx>
        <c:axId val="30953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36959"/>
        <c:crosses val="autoZero"/>
        <c:auto val="1"/>
        <c:lblAlgn val="ctr"/>
        <c:lblOffset val="100"/>
        <c:noMultiLvlLbl val="0"/>
      </c:catAx>
      <c:valAx>
        <c:axId val="30953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3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Avg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35777.777777777781</c:v>
                </c:pt>
                <c:pt idx="1">
                  <c:v>31351.35135135135</c:v>
                </c:pt>
              </c:numCache>
            </c:numRef>
          </c:val>
          <c:extLst>
            <c:ext xmlns:c16="http://schemas.microsoft.com/office/drawing/2014/chart" uri="{C3380CC4-5D6E-409C-BE32-E72D297353CC}">
              <c16:uniqueId val="{00000000-71CA-477E-948B-2764EE1C431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28444.444444444445</c:v>
                </c:pt>
                <c:pt idx="1">
                  <c:v>38000</c:v>
                </c:pt>
              </c:numCache>
            </c:numRef>
          </c:val>
          <c:extLst>
            <c:ext xmlns:c16="http://schemas.microsoft.com/office/drawing/2014/chart" uri="{C3380CC4-5D6E-409C-BE32-E72D297353CC}">
              <c16:uniqueId val="{00000001-71CA-477E-948B-2764EE1C4314}"/>
            </c:ext>
          </c:extLst>
        </c:ser>
        <c:dLbls>
          <c:showLegendKey val="0"/>
          <c:showVal val="0"/>
          <c:showCatName val="0"/>
          <c:showSerName val="0"/>
          <c:showPercent val="0"/>
          <c:showBubbleSize val="0"/>
        </c:dLbls>
        <c:gapWidth val="219"/>
        <c:overlap val="-27"/>
        <c:axId val="175960751"/>
        <c:axId val="175966575"/>
      </c:barChart>
      <c:catAx>
        <c:axId val="175960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66575"/>
        <c:crosses val="autoZero"/>
        <c:auto val="1"/>
        <c:lblAlgn val="ctr"/>
        <c:lblOffset val="100"/>
        <c:noMultiLvlLbl val="0"/>
      </c:catAx>
      <c:valAx>
        <c:axId val="175966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60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35</c:v>
                </c:pt>
                <c:pt idx="1">
                  <c:v>15</c:v>
                </c:pt>
                <c:pt idx="2">
                  <c:v>19</c:v>
                </c:pt>
                <c:pt idx="3">
                  <c:v>6</c:v>
                </c:pt>
                <c:pt idx="4">
                  <c:v>7</c:v>
                </c:pt>
              </c:numCache>
            </c:numRef>
          </c:val>
          <c:smooth val="0"/>
          <c:extLst>
            <c:ext xmlns:c16="http://schemas.microsoft.com/office/drawing/2014/chart" uri="{C3380CC4-5D6E-409C-BE32-E72D297353CC}">
              <c16:uniqueId val="{00000000-0B68-4E83-B7B2-325F3F054A71}"/>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55</c:v>
                </c:pt>
                <c:pt idx="1">
                  <c:v>12</c:v>
                </c:pt>
                <c:pt idx="2">
                  <c:v>11</c:v>
                </c:pt>
                <c:pt idx="3">
                  <c:v>2</c:v>
                </c:pt>
              </c:numCache>
            </c:numRef>
          </c:val>
          <c:smooth val="0"/>
          <c:extLst>
            <c:ext xmlns:c16="http://schemas.microsoft.com/office/drawing/2014/chart" uri="{C3380CC4-5D6E-409C-BE32-E72D297353CC}">
              <c16:uniqueId val="{00000001-0B68-4E83-B7B2-325F3F054A71}"/>
            </c:ext>
          </c:extLst>
        </c:ser>
        <c:dLbls>
          <c:showLegendKey val="0"/>
          <c:showVal val="0"/>
          <c:showCatName val="0"/>
          <c:showSerName val="0"/>
          <c:showPercent val="0"/>
          <c:showBubbleSize val="0"/>
        </c:dLbls>
        <c:smooth val="0"/>
        <c:axId val="294316735"/>
        <c:axId val="294321311"/>
      </c:lineChart>
      <c:catAx>
        <c:axId val="294316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21311"/>
        <c:crosses val="autoZero"/>
        <c:auto val="1"/>
        <c:lblAlgn val="ctr"/>
        <c:lblOffset val="100"/>
        <c:noMultiLvlLbl val="0"/>
      </c:catAx>
      <c:valAx>
        <c:axId val="294321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1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per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Adult</c:v>
                </c:pt>
                <c:pt idx="1">
                  <c:v>Middle Age</c:v>
                </c:pt>
                <c:pt idx="2">
                  <c:v>Old</c:v>
                </c:pt>
              </c:strCache>
            </c:strRef>
          </c:cat>
          <c:val>
            <c:numRef>
              <c:f>'Pivot Table'!$B$39:$B$42</c:f>
              <c:numCache>
                <c:formatCode>General</c:formatCode>
                <c:ptCount val="3"/>
                <c:pt idx="0">
                  <c:v>21</c:v>
                </c:pt>
                <c:pt idx="1">
                  <c:v>50</c:v>
                </c:pt>
                <c:pt idx="2">
                  <c:v>11</c:v>
                </c:pt>
              </c:numCache>
            </c:numRef>
          </c:val>
          <c:smooth val="0"/>
          <c:extLst>
            <c:ext xmlns:c16="http://schemas.microsoft.com/office/drawing/2014/chart" uri="{C3380CC4-5D6E-409C-BE32-E72D297353CC}">
              <c16:uniqueId val="{00000000-E9F6-41C5-8400-9EE32122428C}"/>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Adult</c:v>
                </c:pt>
                <c:pt idx="1">
                  <c:v>Middle Age</c:v>
                </c:pt>
                <c:pt idx="2">
                  <c:v>Old</c:v>
                </c:pt>
              </c:strCache>
            </c:strRef>
          </c:cat>
          <c:val>
            <c:numRef>
              <c:f>'Pivot Table'!$C$39:$C$42</c:f>
              <c:numCache>
                <c:formatCode>General</c:formatCode>
                <c:ptCount val="3"/>
                <c:pt idx="0">
                  <c:v>9</c:v>
                </c:pt>
                <c:pt idx="1">
                  <c:v>69</c:v>
                </c:pt>
                <c:pt idx="2">
                  <c:v>2</c:v>
                </c:pt>
              </c:numCache>
            </c:numRef>
          </c:val>
          <c:smooth val="0"/>
          <c:extLst>
            <c:ext xmlns:c16="http://schemas.microsoft.com/office/drawing/2014/chart" uri="{C3380CC4-5D6E-409C-BE32-E72D297353CC}">
              <c16:uniqueId val="{00000001-E9F6-41C5-8400-9EE32122428C}"/>
            </c:ext>
          </c:extLst>
        </c:ser>
        <c:dLbls>
          <c:showLegendKey val="0"/>
          <c:showVal val="0"/>
          <c:showCatName val="0"/>
          <c:showSerName val="0"/>
          <c:showPercent val="0"/>
          <c:showBubbleSize val="0"/>
        </c:dLbls>
        <c:marker val="1"/>
        <c:smooth val="0"/>
        <c:axId val="309538623"/>
        <c:axId val="309536959"/>
      </c:lineChart>
      <c:catAx>
        <c:axId val="30953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36959"/>
        <c:crosses val="autoZero"/>
        <c:auto val="1"/>
        <c:lblAlgn val="ctr"/>
        <c:lblOffset val="100"/>
        <c:noMultiLvlLbl val="0"/>
      </c:catAx>
      <c:valAx>
        <c:axId val="30953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53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457200</xdr:colOff>
      <xdr:row>0</xdr:row>
      <xdr:rowOff>0</xdr:rowOff>
    </xdr:from>
    <xdr:to>
      <xdr:col>13</xdr:col>
      <xdr:colOff>200025</xdr:colOff>
      <xdr:row>14</xdr:row>
      <xdr:rowOff>85725</xdr:rowOff>
    </xdr:to>
    <xdr:graphicFrame macro="">
      <xdr:nvGraphicFramePr>
        <xdr:cNvPr id="2" name="Chart 1">
          <a:extLst>
            <a:ext uri="{FF2B5EF4-FFF2-40B4-BE49-F238E27FC236}">
              <a16:creationId xmlns:a16="http://schemas.microsoft.com/office/drawing/2014/main" id="{CF53E778-6782-45D1-98E2-3390AD145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17</xdr:row>
      <xdr:rowOff>100012</xdr:rowOff>
    </xdr:from>
    <xdr:to>
      <xdr:col>11</xdr:col>
      <xdr:colOff>571500</xdr:colOff>
      <xdr:row>31</xdr:row>
      <xdr:rowOff>176212</xdr:rowOff>
    </xdr:to>
    <xdr:graphicFrame macro="">
      <xdr:nvGraphicFramePr>
        <xdr:cNvPr id="3" name="Chart 2">
          <a:extLst>
            <a:ext uri="{FF2B5EF4-FFF2-40B4-BE49-F238E27FC236}">
              <a16:creationId xmlns:a16="http://schemas.microsoft.com/office/drawing/2014/main" id="{DA23DEC3-FBFE-4E06-8785-CF2E6E3C7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xdr:colOff>
      <xdr:row>31</xdr:row>
      <xdr:rowOff>100012</xdr:rowOff>
    </xdr:from>
    <xdr:to>
      <xdr:col>11</xdr:col>
      <xdr:colOff>552450</xdr:colOff>
      <xdr:row>45</xdr:row>
      <xdr:rowOff>176212</xdr:rowOff>
    </xdr:to>
    <xdr:graphicFrame macro="">
      <xdr:nvGraphicFramePr>
        <xdr:cNvPr id="4" name="Chart 3">
          <a:extLst>
            <a:ext uri="{FF2B5EF4-FFF2-40B4-BE49-F238E27FC236}">
              <a16:creationId xmlns:a16="http://schemas.microsoft.com/office/drawing/2014/main" id="{553B781C-6AC5-414B-9255-9A893EA23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4</xdr:row>
      <xdr:rowOff>180975</xdr:rowOff>
    </xdr:from>
    <xdr:to>
      <xdr:col>9</xdr:col>
      <xdr:colOff>38101</xdr:colOff>
      <xdr:row>18</xdr:row>
      <xdr:rowOff>57150</xdr:rowOff>
    </xdr:to>
    <xdr:graphicFrame macro="">
      <xdr:nvGraphicFramePr>
        <xdr:cNvPr id="2" name="Chart 1">
          <a:extLst>
            <a:ext uri="{FF2B5EF4-FFF2-40B4-BE49-F238E27FC236}">
              <a16:creationId xmlns:a16="http://schemas.microsoft.com/office/drawing/2014/main" id="{5EB2FF61-5919-4081-978E-742240024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18</xdr:row>
      <xdr:rowOff>57151</xdr:rowOff>
    </xdr:from>
    <xdr:to>
      <xdr:col>15</xdr:col>
      <xdr:colOff>590550</xdr:colOff>
      <xdr:row>31</xdr:row>
      <xdr:rowOff>19051</xdr:rowOff>
    </xdr:to>
    <xdr:graphicFrame macro="">
      <xdr:nvGraphicFramePr>
        <xdr:cNvPr id="3" name="Chart 2">
          <a:extLst>
            <a:ext uri="{FF2B5EF4-FFF2-40B4-BE49-F238E27FC236}">
              <a16:creationId xmlns:a16="http://schemas.microsoft.com/office/drawing/2014/main" id="{953BCFD0-2B12-43AF-8DA2-21404DD99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57150</xdr:colOff>
      <xdr:row>5</xdr:row>
      <xdr:rowOff>0</xdr:rowOff>
    </xdr:from>
    <xdr:to>
      <xdr:col>15</xdr:col>
      <xdr:colOff>600075</xdr:colOff>
      <xdr:row>18</xdr:row>
      <xdr:rowOff>38100</xdr:rowOff>
    </xdr:to>
    <xdr:graphicFrame macro="">
      <xdr:nvGraphicFramePr>
        <xdr:cNvPr id="4" name="Chart 3">
          <a:extLst>
            <a:ext uri="{FF2B5EF4-FFF2-40B4-BE49-F238E27FC236}">
              <a16:creationId xmlns:a16="http://schemas.microsoft.com/office/drawing/2014/main" id="{68FDAFCB-FBD8-4B9A-BACC-116EF0B35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38101</xdr:rowOff>
    </xdr:from>
    <xdr:to>
      <xdr:col>2</xdr:col>
      <xdr:colOff>323850</xdr:colOff>
      <xdr:row>10</xdr:row>
      <xdr:rowOff>38101</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960A57F-323C-4203-9FD2-E9069E98692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90601"/>
              <a:ext cx="154305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57150</xdr:rowOff>
    </xdr:from>
    <xdr:to>
      <xdr:col>2</xdr:col>
      <xdr:colOff>323850</xdr:colOff>
      <xdr:row>16</xdr:row>
      <xdr:rowOff>85725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0E8C17B-5821-40FB-8B2B-0E9B1AD201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62150"/>
              <a:ext cx="154305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95250</xdr:rowOff>
    </xdr:from>
    <xdr:to>
      <xdr:col>2</xdr:col>
      <xdr:colOff>314325</xdr:colOff>
      <xdr:row>25</xdr:row>
      <xdr:rowOff>47625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6FBFF0A0-5380-42D4-854F-8D8AA5384F3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43250"/>
              <a:ext cx="1533525"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7.53775891204" createdVersion="7" refreshedVersion="7" minRefreshableVersion="3" recordCount="1026" xr:uid="{B58D9156-78D6-45BB-8905-0A584029B58E}">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4">
        <s v="Middle Age"/>
        <s v="Old"/>
        <s v="Adul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341374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BC3E7-240B-47B1-95B4-58DB94F2172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fieldListSortAscending="1">
  <location ref="A19:D2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A6242D-82A7-4A6A-A287-C04C08E793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Gender">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6">
    <format dxfId="5">
      <pivotArea dataOnly="0" outline="0" fieldPosition="0">
        <references count="1">
          <reference field="13" count="1">
            <x v="0"/>
          </reference>
        </references>
      </pivotArea>
    </format>
    <format dxfId="4">
      <pivotArea collapsedLevelsAreSubtotals="1" fieldPosition="0">
        <references count="2">
          <reference field="2" count="1">
            <x v="1"/>
          </reference>
          <reference field="13" count="1" selected="0">
            <x v="1"/>
          </reference>
        </references>
      </pivotArea>
    </format>
    <format dxfId="3">
      <pivotArea field="2" grandCol="1" collapsedLevelsAreSubtotals="1" axis="axisRow" fieldPosition="0">
        <references count="1">
          <reference field="2" count="1">
            <x v="0"/>
          </reference>
        </references>
      </pivotArea>
    </format>
    <format dxfId="2">
      <pivotArea grandRow="1" grandCol="1" outline="0" collapsedLevelsAreSubtotals="1" fieldPosition="0"/>
    </format>
    <format dxfId="1">
      <pivotArea field="13" grandRow="1" outline="0" collapsedLevelsAreSubtotals="1" axis="axisCol" fieldPosition="0">
        <references count="1">
          <reference field="13" count="1" selected="0">
            <x v="1"/>
          </reference>
        </references>
      </pivotArea>
    </format>
    <format dxfId="0">
      <pivotArea collapsedLevelsAreSubtotals="1" fieldPosition="0">
        <references count="2">
          <reference field="2" count="1">
            <x v="0"/>
          </reference>
          <reference field="13" count="1" selected="0">
            <x v="1"/>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E0C4BD-F7DF-4AA7-9269-CFA829FC4E4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6:D49" firstHeaderRow="1" firstDataRow="2" firstDataCol="1"/>
  <pivotFields count="14">
    <pivotField showAll="0"/>
    <pivotField axis="axisRow"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
  </rowFields>
  <rowItems count="2">
    <i>
      <x v="1"/>
    </i>
    <i t="grand">
      <x/>
    </i>
  </rowItems>
  <colFields count="1">
    <field x="13"/>
  </colFields>
  <colItems count="3">
    <i>
      <x/>
    </i>
    <i>
      <x v="1"/>
    </i>
    <i t="grand">
      <x/>
    </i>
  </colItems>
  <dataFields count="1">
    <dataField nam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79D4B-8FE6-42C3-8F4F-26DA37526C0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fieldListSortAscending="1">
  <location ref="A37:D42"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EE0C61D-73BB-4FC7-BBB4-F97C1484B3FA}" sourceName="Marital Status">
  <pivotTables>
    <pivotTable tabId="3" name="PivotTable1"/>
    <pivotTable tabId="3" name="PivotTable2"/>
    <pivotTable tabId="3" name="PivotTable3"/>
    <pivotTable tabId="3" name="PivotTable4"/>
  </pivotTables>
  <data>
    <tabular pivotCacheId="34137477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BCA4CD-3FD4-430A-976D-AE375D14198C}" sourceName="Region">
  <pivotTables>
    <pivotTable tabId="3" name="PivotTable1"/>
    <pivotTable tabId="3" name="PivotTable2"/>
    <pivotTable tabId="3" name="PivotTable3"/>
    <pivotTable tabId="3" name="PivotTable4"/>
  </pivotTables>
  <data>
    <tabular pivotCacheId="341374774">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11695E-2287-4CBB-B79A-3331A10B793D}" sourceName="Education">
  <pivotTables>
    <pivotTable tabId="3" name="PivotTable1"/>
    <pivotTable tabId="3" name="PivotTable2"/>
    <pivotTable tabId="3" name="PivotTable3"/>
    <pivotTable tabId="3" name="PivotTable4"/>
  </pivotTables>
  <data>
    <tabular pivotCacheId="34137477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01DCD74-3B9C-44CB-9600-7D6F21DE05A2}" cache="Slicer_Marital_Status" caption="Marital Status" style="SlicerStyleLight2" rowHeight="241300"/>
  <slicer name="Region" xr10:uid="{66A93A04-5E78-4FEC-96E5-BC9F7A0DCD94}" cache="Slicer_Region" caption="Region" style="SlicerStyleLight2" rowHeight="241300"/>
  <slicer name="Education" xr10:uid="{53EB9A38-8B59-415B-8CA3-D4D95FE27E26}" cache="Slicer_Education" caption="Education"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0FC397-ABF0-4A2B-8279-E450C82AEBA4}" name="Table1" displayName="Table1" ref="A1:N1027" totalsRowShown="0">
  <autoFilter ref="A1:N1027" xr:uid="{530FC397-ABF0-4A2B-8279-E450C82AEBA4}"/>
  <tableColumns count="14">
    <tableColumn id="1" xr3:uid="{C82275E1-1743-4ECE-8234-D016B20A4F00}" name="ID"/>
    <tableColumn id="2" xr3:uid="{F04749B4-D046-4125-A27B-F3E0B2CD171B}" name="Marital Status"/>
    <tableColumn id="3" xr3:uid="{1E3D328F-D3EB-43BB-93D5-CF0AB70C2DF0}" name="Gender"/>
    <tableColumn id="4" xr3:uid="{228C4D83-1BFD-453F-B6CE-EDB58F1274E4}" name="Income" dataDxfId="7"/>
    <tableColumn id="5" xr3:uid="{B09BE2C7-DDB8-409A-BA88-C518B5906810}" name="Children"/>
    <tableColumn id="6" xr3:uid="{F8AA726B-CF8B-49E6-AC68-C6C610191875}" name="Education"/>
    <tableColumn id="7" xr3:uid="{05E7C63F-88ED-4083-9A68-A4FF6A426E1B}" name="Occupation"/>
    <tableColumn id="8" xr3:uid="{30D63171-00B9-4BB5-9137-2EDE8D6C7820}" name="Home Owner"/>
    <tableColumn id="9" xr3:uid="{0BCF7A0B-9EE0-438D-AD27-F14BCEA33E4C}" name="Cars"/>
    <tableColumn id="10" xr3:uid="{8A916A19-A8AC-4C90-82FB-287E8A495190}" name="Commute Distance"/>
    <tableColumn id="11" xr3:uid="{745437C2-9144-4735-B156-540740A85633}" name="Region"/>
    <tableColumn id="12" xr3:uid="{DD4EA603-5E11-4398-A12B-F2C18B5D9E14}" name="Age"/>
    <tableColumn id="14" xr3:uid="{706E85E4-4F32-4A90-ADDD-1B6C9AE571AF}" name="Age Bracket" dataDxfId="6">
      <calculatedColumnFormula>IF(L2&gt;54,"Old",IF(L2&gt;=31,"Middle Age",IF(L2&lt;31,"Adult","Invalid")))</calculatedColumnFormula>
    </tableColumn>
    <tableColumn id="13" xr3:uid="{E67CD95E-7FAB-4447-BE71-EB68BF27D2C5}" name="Purchased Bik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BFC4B0-B280-44FD-BEC7-16EA96FBD42A}" name="Table2" displayName="Table2" ref="A1:N46" totalsRowShown="0">
  <autoFilter ref="A1:N46" xr:uid="{DCBFC4B0-B280-44FD-BEC7-16EA96FBD42A}"/>
  <tableColumns count="14">
    <tableColumn id="1" xr3:uid="{A703737D-FFA0-407F-932F-BDA2F49FE21D}" name="Column1"/>
    <tableColumn id="2" xr3:uid="{DA3DC62C-EAEB-4A49-B0FB-53C4F9B34884}" name="Marital Status"/>
    <tableColumn id="3" xr3:uid="{EE4FB00A-B81D-4E6C-B689-D9DEA318BC14}" name="Gender"/>
    <tableColumn id="4" xr3:uid="{71FCB646-D52B-4A58-B4EF-0494EB5919A9}" name="Income"/>
    <tableColumn id="5" xr3:uid="{A4027820-65C6-4699-9662-C720EF53278B}" name="Children"/>
    <tableColumn id="6" xr3:uid="{431EBA69-F6A7-44E5-AFE1-73617B3CC3C1}" name="Education"/>
    <tableColumn id="7" xr3:uid="{F36D45A8-F635-4BBE-97AA-FBC2212F68A1}" name="Occupation"/>
    <tableColumn id="8" xr3:uid="{1B753F88-F7D8-41B8-B751-4993A72588EE}" name="Home Owner"/>
    <tableColumn id="9" xr3:uid="{65E2D03D-3CEE-4B08-AD63-40E89176EE30}" name="Cars"/>
    <tableColumn id="10" xr3:uid="{A5781FF1-DCA1-4077-9A74-026201EDF671}" name="Commute Distance"/>
    <tableColumn id="11" xr3:uid="{91A4C5F9-4470-46D5-8F94-D1CFA1A0A91A}" name="Region"/>
    <tableColumn id="12" xr3:uid="{E10C3C94-7D91-4E43-B69A-47ED68BEAE99}" name="Age"/>
    <tableColumn id="13" xr3:uid="{946A5A39-7254-43F5-B7CE-B2803A78017B}" name="Age Bracket"/>
    <tableColumn id="14" xr3:uid="{2145A7D7-3C68-444D-AACC-80DE26583F36}"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N11" sqref="N11"/>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07143-EC88-4664-9D43-CD2C524A4C09}">
  <dimension ref="A1:N1027"/>
  <sheetViews>
    <sheetView topLeftCell="A1008" workbookViewId="0">
      <selection activeCell="M935" sqref="M935"/>
    </sheetView>
  </sheetViews>
  <sheetFormatPr defaultColWidth="11.85546875" defaultRowHeight="15" x14ac:dyDescent="0.25"/>
  <cols>
    <col min="2" max="2" width="15.42578125" customWidth="1"/>
    <col min="4" max="4" width="11.85546875" style="3"/>
    <col min="7" max="7" width="13.140625" customWidth="1"/>
    <col min="8" max="8" width="14.85546875" customWidth="1"/>
    <col min="10" max="10" width="19.85546875" customWidth="1"/>
    <col min="14" max="14" width="16.5703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 t="shared" ref="M2:M65" si="0">IF(L2&gt;54,"Old",IF(L2&gt;=31,"Middle Age",IF(L2&lt;31,"Adult","Invalid")))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si="0"/>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Adult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Adult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Adult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Adult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Adult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ref="M66:M129" si="1">IF(L66&gt;54,"Old",IF(L66&gt;=31,"Middle Age",IF(L66&lt;31,"Adult","Invalid")))</f>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Adult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Adult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Adult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Adult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Adult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Adult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Adult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Adult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Adult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Adult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Adult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Adult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Adult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ref="M130:M193" si="2">IF(L130&gt;54,"Old",IF(L130&gt;=31,"Middle Age",IF(L130&lt;31,"Adult","Invalid")))</f>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si="2"/>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Adult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Adult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Adult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Adult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Adult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Adult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ref="M194:M257" si="3">IF(L194&gt;54,"Old",IF(L194&gt;=31,"Middle Age",IF(L194&lt;31,"Adult","Invalid")))</f>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si="3"/>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Adult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Adult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Adult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Adult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Adult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Adult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Adult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Adult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Adult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Adult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ref="M258:M321" si="4">IF(L258&gt;54,"Old",IF(L258&gt;=31,"Middle Age",IF(L258&lt;31,"Adult","Invalid")))</f>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si="4"/>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Adult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Adult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Adult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Adult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ref="M322:M385" si="5">IF(L322&gt;54,"Old",IF(L322&gt;=31,"Middle Age",IF(L322&lt;31,"Adult","Invalid")))</f>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si="5"/>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Adult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Adult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Adult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Adult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Adult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Adult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Adult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Adult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Adult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ref="M386:M449" si="6">IF(L386&gt;54,"Old",IF(L386&gt;=31,"Middle Age",IF(L386&lt;31,"Adult","Invalid")))</f>
        <v>Adult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si="6"/>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Adult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Adult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Adult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Adult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ref="M450:M513" si="7">IF(L450&gt;54,"Old",IF(L450&gt;=31,"Middle Age",IF(L450&lt;31,"Adult","Invalid")))</f>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si="7"/>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Adult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Adult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Adult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ref="M514:M577" si="8">IF(L514&gt;54,"Old",IF(L514&gt;=31,"Middle Age",IF(L514&lt;31,"Adult","Invalid")))</f>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si="8"/>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Adult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Adult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Adult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Adult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Adult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Adult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Adult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Adult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ref="M578:M641" si="9">IF(L578&gt;54,"Old",IF(L578&gt;=31,"Middle Age",IF(L578&lt;31,"Adult","Invalid")))</f>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si="9"/>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Adult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Adult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Adult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Adult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Adult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Adult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Adult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Adult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ref="M642:M705" si="10">IF(L642&gt;54,"Old",IF(L642&gt;=31,"Middle Age",IF(L642&lt;31,"Adult","Invalid")))</f>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si="10"/>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Adult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Adult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Adult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Adult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Adult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Adult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Adult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Adult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ref="M706:M769" si="11">IF(L706&gt;54,"Old",IF(L706&gt;=31,"Middle Age",IF(L706&lt;31,"Adult","Invalid")))</f>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si="11"/>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Adult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Adult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Adult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Adult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Adult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Adult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Adult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ref="M770:M833" si="12">IF(L770&gt;54,"Old",IF(L770&gt;=31,"Middle Age",IF(L770&lt;31,"Adult","Invalid")))</f>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si="12"/>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Adult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Adult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Adult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Adult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Adult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Adult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Adult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Adult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Adult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Adult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Adult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Adult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ref="M834:M897" si="13">IF(L834&gt;54,"Old",IF(L834&gt;=31,"Middle Age",IF(L834&lt;31,"Adult","Invalid")))</f>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si="13"/>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Adult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Adult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Adult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Adult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ref="M898:M961" si="14">IF(L898&gt;54,"Old",IF(L898&gt;=31,"Middle Age",IF(L898&lt;31,"Adult","Invalid")))</f>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si="14"/>
        <v>Adult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Adult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Adult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Adult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Adult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Adult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ref="M962:M1025" si="15">IF(L962&gt;54,"Old",IF(L962&gt;=31,"Middle Age",IF(L962&lt;31,"Adult","Invalid")))</f>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Adult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Adult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row r="1002" spans="1:14" x14ac:dyDescent="0.25">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38</v>
      </c>
      <c r="D1003" s="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39</v>
      </c>
      <c r="D1004" s="3">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37</v>
      </c>
      <c r="C1005" t="s">
        <v>39</v>
      </c>
      <c r="D1005" s="3">
        <v>90000</v>
      </c>
      <c r="E1005">
        <v>0</v>
      </c>
      <c r="F1005" t="s">
        <v>13</v>
      </c>
      <c r="G1005" t="s">
        <v>21</v>
      </c>
      <c r="H1005" t="s">
        <v>18</v>
      </c>
      <c r="I1005">
        <v>4</v>
      </c>
      <c r="J1005" t="s">
        <v>46</v>
      </c>
      <c r="K1005" t="s">
        <v>24</v>
      </c>
      <c r="L1005">
        <v>36</v>
      </c>
      <c r="M1005" t="str">
        <f t="shared" si="15"/>
        <v>Middle Age</v>
      </c>
      <c r="N1005" t="s">
        <v>18</v>
      </c>
    </row>
    <row r="1006" spans="1:14" x14ac:dyDescent="0.25">
      <c r="A1006">
        <v>11434</v>
      </c>
      <c r="B1006" t="s">
        <v>36</v>
      </c>
      <c r="C1006" t="s">
        <v>38</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38</v>
      </c>
      <c r="D1007" s="3">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38</v>
      </c>
      <c r="D1008" s="3">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38</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38</v>
      </c>
      <c r="D1012" s="3">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38</v>
      </c>
      <c r="D1013" s="3">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39</v>
      </c>
      <c r="D1015" s="3">
        <v>80000</v>
      </c>
      <c r="E1015">
        <v>0</v>
      </c>
      <c r="F1015" t="s">
        <v>13</v>
      </c>
      <c r="G1015" t="s">
        <v>21</v>
      </c>
      <c r="H1015" t="s">
        <v>15</v>
      </c>
      <c r="I1015">
        <v>4</v>
      </c>
      <c r="J1015" t="s">
        <v>46</v>
      </c>
      <c r="K1015" t="s">
        <v>24</v>
      </c>
      <c r="L1015">
        <v>35</v>
      </c>
      <c r="M1015" t="str">
        <f t="shared" si="15"/>
        <v>Middle Age</v>
      </c>
      <c r="N1015" t="s">
        <v>18</v>
      </c>
    </row>
    <row r="1016" spans="1:14" x14ac:dyDescent="0.25">
      <c r="A1016">
        <v>19193</v>
      </c>
      <c r="B1016" t="s">
        <v>37</v>
      </c>
      <c r="C1016" t="s">
        <v>38</v>
      </c>
      <c r="D1016" s="3">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38</v>
      </c>
      <c r="D1018" s="3">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38</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38</v>
      </c>
      <c r="D1020" s="3">
        <v>30000</v>
      </c>
      <c r="E1020">
        <v>0</v>
      </c>
      <c r="F1020" t="s">
        <v>19</v>
      </c>
      <c r="G1020" t="s">
        <v>20</v>
      </c>
      <c r="H1020" t="s">
        <v>18</v>
      </c>
      <c r="I1020">
        <v>1</v>
      </c>
      <c r="J1020" t="s">
        <v>16</v>
      </c>
      <c r="K1020" t="s">
        <v>17</v>
      </c>
      <c r="L1020">
        <v>29</v>
      </c>
      <c r="M1020" t="str">
        <f t="shared" si="15"/>
        <v>Adult</v>
      </c>
      <c r="N1020" t="s">
        <v>15</v>
      </c>
    </row>
    <row r="1021" spans="1:14" x14ac:dyDescent="0.25">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38</v>
      </c>
      <c r="D1022" s="3">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39</v>
      </c>
      <c r="D1023" s="3">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39</v>
      </c>
      <c r="D1024" s="3">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38</v>
      </c>
      <c r="D1025" s="3">
        <v>10000</v>
      </c>
      <c r="E1025">
        <v>0</v>
      </c>
      <c r="F1025" t="s">
        <v>19</v>
      </c>
      <c r="G1025" t="s">
        <v>25</v>
      </c>
      <c r="H1025" t="s">
        <v>18</v>
      </c>
      <c r="I1025">
        <v>1</v>
      </c>
      <c r="J1025" t="s">
        <v>16</v>
      </c>
      <c r="K1025" t="s">
        <v>24</v>
      </c>
      <c r="L1025">
        <v>26</v>
      </c>
      <c r="M1025" t="str">
        <f t="shared" si="15"/>
        <v>Adult</v>
      </c>
      <c r="N1025" t="s">
        <v>15</v>
      </c>
    </row>
    <row r="1026" spans="1:14" x14ac:dyDescent="0.25">
      <c r="A1026">
        <v>20942</v>
      </c>
      <c r="B1026" t="s">
        <v>37</v>
      </c>
      <c r="C1026" t="s">
        <v>39</v>
      </c>
      <c r="D1026" s="3">
        <v>20000</v>
      </c>
      <c r="E1026">
        <v>0</v>
      </c>
      <c r="F1026" t="s">
        <v>27</v>
      </c>
      <c r="G1026" t="s">
        <v>25</v>
      </c>
      <c r="H1026" t="s">
        <v>18</v>
      </c>
      <c r="I1026">
        <v>1</v>
      </c>
      <c r="J1026" t="s">
        <v>23</v>
      </c>
      <c r="K1026" t="s">
        <v>17</v>
      </c>
      <c r="L1026">
        <v>31</v>
      </c>
      <c r="M1026" t="str">
        <f t="shared" ref="M1026:M1027" si="16">IF(L1026&gt;54,"Old",IF(L1026&gt;=31,"Middle Age",IF(L1026&lt;31,"Adult","Invalid")))</f>
        <v>Middle Age</v>
      </c>
      <c r="N1026" t="s">
        <v>18</v>
      </c>
    </row>
    <row r="1027" spans="1:14" x14ac:dyDescent="0.25">
      <c r="A1027">
        <v>18484</v>
      </c>
      <c r="B1027" t="s">
        <v>37</v>
      </c>
      <c r="C1027" t="s">
        <v>38</v>
      </c>
      <c r="D1027" s="3">
        <v>80000</v>
      </c>
      <c r="E1027">
        <v>2</v>
      </c>
      <c r="F1027" t="s">
        <v>27</v>
      </c>
      <c r="G1027" t="s">
        <v>14</v>
      </c>
      <c r="H1027" t="s">
        <v>18</v>
      </c>
      <c r="I1027">
        <v>2</v>
      </c>
      <c r="J1027" t="s">
        <v>26</v>
      </c>
      <c r="K1027" t="s">
        <v>24</v>
      </c>
      <c r="L1027">
        <v>50</v>
      </c>
      <c r="M1027" t="str">
        <f t="shared" si="16"/>
        <v>Middle Age</v>
      </c>
      <c r="N1027"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0F05-8CDB-4C22-8925-7B7DB6ADBB9F}">
  <dimension ref="A1:N46"/>
  <sheetViews>
    <sheetView workbookViewId="0">
      <selection sqref="A1:N46"/>
    </sheetView>
  </sheetViews>
  <sheetFormatPr defaultRowHeight="15" x14ac:dyDescent="0.25"/>
  <cols>
    <col min="2" max="2" width="15.42578125" customWidth="1"/>
    <col min="3" max="3" width="9.85546875" customWidth="1"/>
    <col min="4" max="4" width="9.7109375" customWidth="1"/>
    <col min="5" max="5" width="10.7109375" customWidth="1"/>
    <col min="6" max="6" width="11.85546875" customWidth="1"/>
    <col min="7" max="7" width="13.140625" customWidth="1"/>
    <col min="8" max="8" width="14.85546875" customWidth="1"/>
    <col min="10" max="10" width="19.85546875" customWidth="1"/>
    <col min="11" max="11" width="9.28515625" customWidth="1"/>
    <col min="13" max="13" width="13.5703125" customWidth="1"/>
    <col min="14" max="14" width="16.5703125" customWidth="1"/>
  </cols>
  <sheetData>
    <row r="1" spans="1:14" x14ac:dyDescent="0.25">
      <c r="A1" t="s">
        <v>52</v>
      </c>
      <c r="B1" t="s">
        <v>1</v>
      </c>
      <c r="C1" t="s">
        <v>2</v>
      </c>
      <c r="D1" t="s">
        <v>3</v>
      </c>
      <c r="E1" t="s">
        <v>4</v>
      </c>
      <c r="F1" t="s">
        <v>5</v>
      </c>
      <c r="G1" t="s">
        <v>6</v>
      </c>
      <c r="H1" t="s">
        <v>7</v>
      </c>
      <c r="I1" t="s">
        <v>8</v>
      </c>
      <c r="J1" t="s">
        <v>9</v>
      </c>
      <c r="K1" t="s">
        <v>10</v>
      </c>
      <c r="L1" t="s">
        <v>11</v>
      </c>
      <c r="M1" t="s">
        <v>40</v>
      </c>
      <c r="N1" t="s">
        <v>12</v>
      </c>
    </row>
    <row r="2" spans="1:14" x14ac:dyDescent="0.25">
      <c r="A2">
        <v>16466</v>
      </c>
      <c r="B2" t="s">
        <v>37</v>
      </c>
      <c r="C2" t="s">
        <v>39</v>
      </c>
      <c r="D2">
        <v>20000</v>
      </c>
      <c r="E2">
        <v>0</v>
      </c>
      <c r="F2" t="s">
        <v>29</v>
      </c>
      <c r="G2" t="s">
        <v>25</v>
      </c>
      <c r="H2" t="s">
        <v>18</v>
      </c>
      <c r="I2">
        <v>2</v>
      </c>
      <c r="J2" t="s">
        <v>16</v>
      </c>
      <c r="K2" t="s">
        <v>17</v>
      </c>
      <c r="L2">
        <v>32</v>
      </c>
      <c r="M2" t="s">
        <v>49</v>
      </c>
      <c r="N2" t="s">
        <v>15</v>
      </c>
    </row>
    <row r="3" spans="1:14" x14ac:dyDescent="0.25">
      <c r="A3">
        <v>20870</v>
      </c>
      <c r="B3" t="s">
        <v>37</v>
      </c>
      <c r="C3" t="s">
        <v>39</v>
      </c>
      <c r="D3">
        <v>10000</v>
      </c>
      <c r="E3">
        <v>2</v>
      </c>
      <c r="F3" t="s">
        <v>27</v>
      </c>
      <c r="G3" t="s">
        <v>25</v>
      </c>
      <c r="H3" t="s">
        <v>15</v>
      </c>
      <c r="I3">
        <v>1</v>
      </c>
      <c r="J3" t="s">
        <v>16</v>
      </c>
      <c r="K3" t="s">
        <v>17</v>
      </c>
      <c r="L3">
        <v>38</v>
      </c>
      <c r="M3" t="s">
        <v>49</v>
      </c>
      <c r="N3" t="s">
        <v>15</v>
      </c>
    </row>
    <row r="4" spans="1:14" x14ac:dyDescent="0.25">
      <c r="A4">
        <v>25681</v>
      </c>
      <c r="B4" t="s">
        <v>37</v>
      </c>
      <c r="C4" t="s">
        <v>39</v>
      </c>
      <c r="D4">
        <v>30000</v>
      </c>
      <c r="E4">
        <v>0</v>
      </c>
      <c r="F4" t="s">
        <v>19</v>
      </c>
      <c r="G4" t="s">
        <v>20</v>
      </c>
      <c r="H4" t="s">
        <v>18</v>
      </c>
      <c r="I4">
        <v>1</v>
      </c>
      <c r="J4" t="s">
        <v>22</v>
      </c>
      <c r="K4" t="s">
        <v>17</v>
      </c>
      <c r="L4">
        <v>31</v>
      </c>
      <c r="M4" t="s">
        <v>49</v>
      </c>
      <c r="N4" t="s">
        <v>15</v>
      </c>
    </row>
    <row r="5" spans="1:14" x14ac:dyDescent="0.25">
      <c r="A5">
        <v>28564</v>
      </c>
      <c r="B5" t="s">
        <v>37</v>
      </c>
      <c r="C5" t="s">
        <v>39</v>
      </c>
      <c r="D5">
        <v>40000</v>
      </c>
      <c r="E5">
        <v>2</v>
      </c>
      <c r="F5" t="s">
        <v>19</v>
      </c>
      <c r="G5" t="s">
        <v>20</v>
      </c>
      <c r="H5" t="s">
        <v>15</v>
      </c>
      <c r="I5">
        <v>0</v>
      </c>
      <c r="J5" t="s">
        <v>26</v>
      </c>
      <c r="K5" t="s">
        <v>17</v>
      </c>
      <c r="L5">
        <v>33</v>
      </c>
      <c r="M5" t="s">
        <v>49</v>
      </c>
      <c r="N5" t="s">
        <v>15</v>
      </c>
    </row>
    <row r="6" spans="1:14" x14ac:dyDescent="0.25">
      <c r="A6">
        <v>22634</v>
      </c>
      <c r="B6" t="s">
        <v>37</v>
      </c>
      <c r="C6" t="s">
        <v>39</v>
      </c>
      <c r="D6">
        <v>40000</v>
      </c>
      <c r="E6">
        <v>0</v>
      </c>
      <c r="F6" t="s">
        <v>31</v>
      </c>
      <c r="G6" t="s">
        <v>20</v>
      </c>
      <c r="H6" t="s">
        <v>15</v>
      </c>
      <c r="I6">
        <v>0</v>
      </c>
      <c r="J6" t="s">
        <v>16</v>
      </c>
      <c r="K6" t="s">
        <v>17</v>
      </c>
      <c r="L6">
        <v>38</v>
      </c>
      <c r="M6" t="s">
        <v>49</v>
      </c>
      <c r="N6" t="s">
        <v>15</v>
      </c>
    </row>
    <row r="7" spans="1:14" x14ac:dyDescent="0.25">
      <c r="A7">
        <v>16549</v>
      </c>
      <c r="B7" t="s">
        <v>37</v>
      </c>
      <c r="C7" t="s">
        <v>39</v>
      </c>
      <c r="D7">
        <v>30000</v>
      </c>
      <c r="E7">
        <v>3</v>
      </c>
      <c r="F7" t="s">
        <v>13</v>
      </c>
      <c r="G7" t="s">
        <v>20</v>
      </c>
      <c r="H7" t="s">
        <v>15</v>
      </c>
      <c r="I7">
        <v>0</v>
      </c>
      <c r="J7" t="s">
        <v>16</v>
      </c>
      <c r="K7" t="s">
        <v>17</v>
      </c>
      <c r="L7">
        <v>47</v>
      </c>
      <c r="M7" t="s">
        <v>49</v>
      </c>
      <c r="N7" t="s">
        <v>15</v>
      </c>
    </row>
    <row r="8" spans="1:14" x14ac:dyDescent="0.25">
      <c r="A8">
        <v>17754</v>
      </c>
      <c r="B8" t="s">
        <v>37</v>
      </c>
      <c r="C8" t="s">
        <v>39</v>
      </c>
      <c r="D8">
        <v>30000</v>
      </c>
      <c r="E8">
        <v>3</v>
      </c>
      <c r="F8" t="s">
        <v>13</v>
      </c>
      <c r="G8" t="s">
        <v>20</v>
      </c>
      <c r="H8" t="s">
        <v>15</v>
      </c>
      <c r="I8">
        <v>0</v>
      </c>
      <c r="J8" t="s">
        <v>16</v>
      </c>
      <c r="K8" t="s">
        <v>17</v>
      </c>
      <c r="L8">
        <v>46</v>
      </c>
      <c r="M8" t="s">
        <v>49</v>
      </c>
      <c r="N8" t="s">
        <v>15</v>
      </c>
    </row>
    <row r="9" spans="1:14" x14ac:dyDescent="0.25">
      <c r="A9">
        <v>16559</v>
      </c>
      <c r="B9" t="s">
        <v>37</v>
      </c>
      <c r="C9" t="s">
        <v>39</v>
      </c>
      <c r="D9">
        <v>10000</v>
      </c>
      <c r="E9">
        <v>2</v>
      </c>
      <c r="F9" t="s">
        <v>27</v>
      </c>
      <c r="G9" t="s">
        <v>25</v>
      </c>
      <c r="H9" t="s">
        <v>15</v>
      </c>
      <c r="I9">
        <v>0</v>
      </c>
      <c r="J9" t="s">
        <v>16</v>
      </c>
      <c r="K9" t="s">
        <v>17</v>
      </c>
      <c r="L9">
        <v>36</v>
      </c>
      <c r="M9" t="s">
        <v>49</v>
      </c>
      <c r="N9" t="s">
        <v>15</v>
      </c>
    </row>
    <row r="10" spans="1:14" x14ac:dyDescent="0.25">
      <c r="A10">
        <v>24093</v>
      </c>
      <c r="B10" t="s">
        <v>37</v>
      </c>
      <c r="C10" t="s">
        <v>39</v>
      </c>
      <c r="D10">
        <v>80000</v>
      </c>
      <c r="E10">
        <v>0</v>
      </c>
      <c r="F10" t="s">
        <v>31</v>
      </c>
      <c r="G10" t="s">
        <v>14</v>
      </c>
      <c r="H10" t="s">
        <v>18</v>
      </c>
      <c r="I10">
        <v>0</v>
      </c>
      <c r="J10" t="s">
        <v>16</v>
      </c>
      <c r="K10" t="s">
        <v>17</v>
      </c>
      <c r="L10">
        <v>40</v>
      </c>
      <c r="M10" t="s">
        <v>49</v>
      </c>
      <c r="N10" t="s">
        <v>15</v>
      </c>
    </row>
    <row r="11" spans="1:14" x14ac:dyDescent="0.25">
      <c r="A11">
        <v>27824</v>
      </c>
      <c r="B11" t="s">
        <v>37</v>
      </c>
      <c r="C11" t="s">
        <v>39</v>
      </c>
      <c r="D11">
        <v>30000</v>
      </c>
      <c r="E11">
        <v>3</v>
      </c>
      <c r="F11" t="s">
        <v>19</v>
      </c>
      <c r="G11" t="s">
        <v>20</v>
      </c>
      <c r="H11" t="s">
        <v>15</v>
      </c>
      <c r="I11">
        <v>2</v>
      </c>
      <c r="J11" t="s">
        <v>16</v>
      </c>
      <c r="K11" t="s">
        <v>17</v>
      </c>
      <c r="L11">
        <v>28</v>
      </c>
      <c r="M11" t="s">
        <v>47</v>
      </c>
      <c r="N11" t="s">
        <v>15</v>
      </c>
    </row>
    <row r="12" spans="1:14" x14ac:dyDescent="0.25">
      <c r="A12">
        <v>13690</v>
      </c>
      <c r="B12" t="s">
        <v>37</v>
      </c>
      <c r="C12" t="s">
        <v>39</v>
      </c>
      <c r="D12">
        <v>20000</v>
      </c>
      <c r="E12">
        <v>0</v>
      </c>
      <c r="F12" t="s">
        <v>29</v>
      </c>
      <c r="G12" t="s">
        <v>25</v>
      </c>
      <c r="H12" t="s">
        <v>18</v>
      </c>
      <c r="I12">
        <v>2</v>
      </c>
      <c r="J12" t="s">
        <v>26</v>
      </c>
      <c r="K12" t="s">
        <v>17</v>
      </c>
      <c r="L12">
        <v>34</v>
      </c>
      <c r="M12" t="s">
        <v>49</v>
      </c>
      <c r="N12" t="s">
        <v>15</v>
      </c>
    </row>
    <row r="13" spans="1:14" x14ac:dyDescent="0.25">
      <c r="A13">
        <v>25752</v>
      </c>
      <c r="B13" t="s">
        <v>37</v>
      </c>
      <c r="C13" t="s">
        <v>39</v>
      </c>
      <c r="D13">
        <v>20000</v>
      </c>
      <c r="E13">
        <v>2</v>
      </c>
      <c r="F13" t="s">
        <v>19</v>
      </c>
      <c r="G13" t="s">
        <v>25</v>
      </c>
      <c r="H13" t="s">
        <v>18</v>
      </c>
      <c r="I13">
        <v>1</v>
      </c>
      <c r="J13" t="s">
        <v>16</v>
      </c>
      <c r="K13" t="s">
        <v>17</v>
      </c>
      <c r="L13">
        <v>53</v>
      </c>
      <c r="M13" t="s">
        <v>49</v>
      </c>
      <c r="N13" t="s">
        <v>15</v>
      </c>
    </row>
    <row r="14" spans="1:14" x14ac:dyDescent="0.25">
      <c r="A14">
        <v>22636</v>
      </c>
      <c r="B14" t="s">
        <v>37</v>
      </c>
      <c r="C14" t="s">
        <v>39</v>
      </c>
      <c r="D14">
        <v>40000</v>
      </c>
      <c r="E14">
        <v>0</v>
      </c>
      <c r="F14" t="s">
        <v>13</v>
      </c>
      <c r="G14" t="s">
        <v>20</v>
      </c>
      <c r="H14" t="s">
        <v>18</v>
      </c>
      <c r="I14">
        <v>0</v>
      </c>
      <c r="J14" t="s">
        <v>16</v>
      </c>
      <c r="K14" t="s">
        <v>17</v>
      </c>
      <c r="L14">
        <v>38</v>
      </c>
      <c r="M14" t="s">
        <v>49</v>
      </c>
      <c r="N14" t="s">
        <v>15</v>
      </c>
    </row>
    <row r="15" spans="1:14" x14ac:dyDescent="0.25">
      <c r="A15">
        <v>19305</v>
      </c>
      <c r="B15" t="s">
        <v>37</v>
      </c>
      <c r="C15" t="s">
        <v>39</v>
      </c>
      <c r="D15">
        <v>10000</v>
      </c>
      <c r="E15">
        <v>2</v>
      </c>
      <c r="F15" t="s">
        <v>27</v>
      </c>
      <c r="G15" t="s">
        <v>25</v>
      </c>
      <c r="H15" t="s">
        <v>15</v>
      </c>
      <c r="I15">
        <v>1</v>
      </c>
      <c r="J15" t="s">
        <v>16</v>
      </c>
      <c r="K15" t="s">
        <v>17</v>
      </c>
      <c r="L15">
        <v>38</v>
      </c>
      <c r="M15" t="s">
        <v>49</v>
      </c>
      <c r="N15" t="s">
        <v>15</v>
      </c>
    </row>
    <row r="16" spans="1:14" x14ac:dyDescent="0.25">
      <c r="A16">
        <v>22518</v>
      </c>
      <c r="B16" t="s">
        <v>37</v>
      </c>
      <c r="C16" t="s">
        <v>39</v>
      </c>
      <c r="D16">
        <v>30000</v>
      </c>
      <c r="E16">
        <v>3</v>
      </c>
      <c r="F16" t="s">
        <v>19</v>
      </c>
      <c r="G16" t="s">
        <v>20</v>
      </c>
      <c r="H16" t="s">
        <v>18</v>
      </c>
      <c r="I16">
        <v>2</v>
      </c>
      <c r="J16" t="s">
        <v>16</v>
      </c>
      <c r="K16" t="s">
        <v>17</v>
      </c>
      <c r="L16">
        <v>27</v>
      </c>
      <c r="M16" t="s">
        <v>47</v>
      </c>
      <c r="N16" t="s">
        <v>15</v>
      </c>
    </row>
    <row r="17" spans="1:14" x14ac:dyDescent="0.25">
      <c r="A17">
        <v>20870</v>
      </c>
      <c r="B17" t="s">
        <v>37</v>
      </c>
      <c r="C17" t="s">
        <v>39</v>
      </c>
      <c r="D17">
        <v>10000</v>
      </c>
      <c r="E17">
        <v>2</v>
      </c>
      <c r="F17" t="s">
        <v>27</v>
      </c>
      <c r="G17" t="s">
        <v>25</v>
      </c>
      <c r="H17" t="s">
        <v>15</v>
      </c>
      <c r="I17">
        <v>1</v>
      </c>
      <c r="J17" t="s">
        <v>16</v>
      </c>
      <c r="K17" t="s">
        <v>17</v>
      </c>
      <c r="L17">
        <v>38</v>
      </c>
      <c r="M17" t="s">
        <v>49</v>
      </c>
      <c r="N17" t="s">
        <v>15</v>
      </c>
    </row>
    <row r="18" spans="1:14" x14ac:dyDescent="0.25">
      <c r="A18">
        <v>24121</v>
      </c>
      <c r="B18" t="s">
        <v>37</v>
      </c>
      <c r="C18" t="s">
        <v>39</v>
      </c>
      <c r="D18">
        <v>30000</v>
      </c>
      <c r="E18">
        <v>0</v>
      </c>
      <c r="F18" t="s">
        <v>19</v>
      </c>
      <c r="G18" t="s">
        <v>20</v>
      </c>
      <c r="H18" t="s">
        <v>18</v>
      </c>
      <c r="I18">
        <v>1</v>
      </c>
      <c r="J18" t="s">
        <v>16</v>
      </c>
      <c r="K18" t="s">
        <v>17</v>
      </c>
      <c r="L18">
        <v>29</v>
      </c>
      <c r="M18" t="s">
        <v>47</v>
      </c>
      <c r="N18" t="s">
        <v>15</v>
      </c>
    </row>
    <row r="19" spans="1:14" x14ac:dyDescent="0.25">
      <c r="A19">
        <v>19174</v>
      </c>
      <c r="B19" t="s">
        <v>37</v>
      </c>
      <c r="C19" t="s">
        <v>39</v>
      </c>
      <c r="D19">
        <v>30000</v>
      </c>
      <c r="E19">
        <v>0</v>
      </c>
      <c r="F19" t="s">
        <v>27</v>
      </c>
      <c r="G19" t="s">
        <v>25</v>
      </c>
      <c r="H19" t="s">
        <v>18</v>
      </c>
      <c r="I19">
        <v>1</v>
      </c>
      <c r="J19" t="s">
        <v>22</v>
      </c>
      <c r="K19" t="s">
        <v>17</v>
      </c>
      <c r="L19">
        <v>32</v>
      </c>
      <c r="M19" t="s">
        <v>49</v>
      </c>
      <c r="N19" t="s">
        <v>15</v>
      </c>
    </row>
    <row r="20" spans="1:14" x14ac:dyDescent="0.25">
      <c r="A20">
        <v>15926</v>
      </c>
      <c r="B20" t="s">
        <v>37</v>
      </c>
      <c r="C20" t="s">
        <v>39</v>
      </c>
      <c r="D20">
        <v>120000</v>
      </c>
      <c r="E20">
        <v>3</v>
      </c>
      <c r="F20" t="s">
        <v>27</v>
      </c>
      <c r="G20" t="s">
        <v>21</v>
      </c>
      <c r="H20" t="s">
        <v>15</v>
      </c>
      <c r="I20">
        <v>4</v>
      </c>
      <c r="J20" t="s">
        <v>23</v>
      </c>
      <c r="K20" t="s">
        <v>17</v>
      </c>
      <c r="L20">
        <v>50</v>
      </c>
      <c r="M20" t="s">
        <v>49</v>
      </c>
      <c r="N20" t="s">
        <v>15</v>
      </c>
    </row>
    <row r="21" spans="1:14" x14ac:dyDescent="0.25">
      <c r="A21">
        <v>11489</v>
      </c>
      <c r="B21" t="s">
        <v>37</v>
      </c>
      <c r="C21" t="s">
        <v>39</v>
      </c>
      <c r="D21">
        <v>20000</v>
      </c>
      <c r="E21">
        <v>0</v>
      </c>
      <c r="F21" t="s">
        <v>29</v>
      </c>
      <c r="G21" t="s">
        <v>25</v>
      </c>
      <c r="H21" t="s">
        <v>18</v>
      </c>
      <c r="I21">
        <v>2</v>
      </c>
      <c r="J21" t="s">
        <v>26</v>
      </c>
      <c r="K21" t="s">
        <v>17</v>
      </c>
      <c r="L21">
        <v>35</v>
      </c>
      <c r="M21" t="s">
        <v>49</v>
      </c>
      <c r="N21" t="s">
        <v>15</v>
      </c>
    </row>
    <row r="22" spans="1:14" x14ac:dyDescent="0.25">
      <c r="A22">
        <v>27760</v>
      </c>
      <c r="B22" t="s">
        <v>37</v>
      </c>
      <c r="C22" t="s">
        <v>39</v>
      </c>
      <c r="D22">
        <v>40000</v>
      </c>
      <c r="E22">
        <v>0</v>
      </c>
      <c r="F22" t="s">
        <v>31</v>
      </c>
      <c r="G22" t="s">
        <v>20</v>
      </c>
      <c r="H22" t="s">
        <v>18</v>
      </c>
      <c r="I22">
        <v>0</v>
      </c>
      <c r="J22" t="s">
        <v>16</v>
      </c>
      <c r="K22" t="s">
        <v>17</v>
      </c>
      <c r="L22">
        <v>37</v>
      </c>
      <c r="M22" t="s">
        <v>49</v>
      </c>
      <c r="N22" t="s">
        <v>15</v>
      </c>
    </row>
    <row r="23" spans="1:14" x14ac:dyDescent="0.25">
      <c r="A23">
        <v>16410</v>
      </c>
      <c r="B23" t="s">
        <v>37</v>
      </c>
      <c r="C23" t="s">
        <v>39</v>
      </c>
      <c r="D23">
        <v>10000</v>
      </c>
      <c r="E23">
        <v>4</v>
      </c>
      <c r="F23" t="s">
        <v>29</v>
      </c>
      <c r="G23" t="s">
        <v>25</v>
      </c>
      <c r="H23" t="s">
        <v>15</v>
      </c>
      <c r="I23">
        <v>2</v>
      </c>
      <c r="J23" t="s">
        <v>16</v>
      </c>
      <c r="K23" t="s">
        <v>17</v>
      </c>
      <c r="L23">
        <v>41</v>
      </c>
      <c r="M23" t="s">
        <v>49</v>
      </c>
      <c r="N23" t="s">
        <v>15</v>
      </c>
    </row>
    <row r="24" spans="1:14" x14ac:dyDescent="0.25">
      <c r="A24">
        <v>11378</v>
      </c>
      <c r="B24" t="s">
        <v>37</v>
      </c>
      <c r="C24" t="s">
        <v>39</v>
      </c>
      <c r="D24">
        <v>10000</v>
      </c>
      <c r="E24">
        <v>1</v>
      </c>
      <c r="F24" t="s">
        <v>27</v>
      </c>
      <c r="G24" t="s">
        <v>25</v>
      </c>
      <c r="H24" t="s">
        <v>18</v>
      </c>
      <c r="I24">
        <v>1</v>
      </c>
      <c r="J24" t="s">
        <v>22</v>
      </c>
      <c r="K24" t="s">
        <v>17</v>
      </c>
      <c r="L24">
        <v>46</v>
      </c>
      <c r="M24" t="s">
        <v>49</v>
      </c>
      <c r="N24" t="s">
        <v>15</v>
      </c>
    </row>
    <row r="25" spans="1:14" x14ac:dyDescent="0.25">
      <c r="A25">
        <v>24187</v>
      </c>
      <c r="B25" t="s">
        <v>37</v>
      </c>
      <c r="C25" t="s">
        <v>39</v>
      </c>
      <c r="D25">
        <v>30000</v>
      </c>
      <c r="E25">
        <v>3</v>
      </c>
      <c r="F25" t="s">
        <v>31</v>
      </c>
      <c r="G25" t="s">
        <v>20</v>
      </c>
      <c r="H25" t="s">
        <v>18</v>
      </c>
      <c r="I25">
        <v>0</v>
      </c>
      <c r="J25" t="s">
        <v>16</v>
      </c>
      <c r="K25" t="s">
        <v>17</v>
      </c>
      <c r="L25">
        <v>46</v>
      </c>
      <c r="M25" t="s">
        <v>49</v>
      </c>
      <c r="N25" t="s">
        <v>15</v>
      </c>
    </row>
    <row r="26" spans="1:14" x14ac:dyDescent="0.25">
      <c r="A26">
        <v>12231</v>
      </c>
      <c r="B26" t="s">
        <v>37</v>
      </c>
      <c r="C26" t="s">
        <v>39</v>
      </c>
      <c r="D26">
        <v>10000</v>
      </c>
      <c r="E26">
        <v>2</v>
      </c>
      <c r="F26" t="s">
        <v>19</v>
      </c>
      <c r="G26" t="s">
        <v>25</v>
      </c>
      <c r="H26" t="s">
        <v>15</v>
      </c>
      <c r="I26">
        <v>0</v>
      </c>
      <c r="J26" t="s">
        <v>16</v>
      </c>
      <c r="K26" t="s">
        <v>17</v>
      </c>
      <c r="L26">
        <v>51</v>
      </c>
      <c r="M26" t="s">
        <v>49</v>
      </c>
      <c r="N26" t="s">
        <v>15</v>
      </c>
    </row>
    <row r="27" spans="1:14" x14ac:dyDescent="0.25">
      <c r="A27">
        <v>21039</v>
      </c>
      <c r="B27" t="s">
        <v>37</v>
      </c>
      <c r="C27" t="s">
        <v>39</v>
      </c>
      <c r="D27">
        <v>50000</v>
      </c>
      <c r="E27">
        <v>0</v>
      </c>
      <c r="F27" t="s">
        <v>31</v>
      </c>
      <c r="G27" t="s">
        <v>14</v>
      </c>
      <c r="H27" t="s">
        <v>18</v>
      </c>
      <c r="I27">
        <v>0</v>
      </c>
      <c r="J27" t="s">
        <v>16</v>
      </c>
      <c r="K27" t="s">
        <v>17</v>
      </c>
      <c r="L27">
        <v>37</v>
      </c>
      <c r="M27" t="s">
        <v>49</v>
      </c>
      <c r="N27" t="s">
        <v>15</v>
      </c>
    </row>
    <row r="28" spans="1:14" x14ac:dyDescent="0.25">
      <c r="A28">
        <v>14164</v>
      </c>
      <c r="B28" t="s">
        <v>37</v>
      </c>
      <c r="C28" t="s">
        <v>39</v>
      </c>
      <c r="D28">
        <v>50000</v>
      </c>
      <c r="E28">
        <v>0</v>
      </c>
      <c r="F28" t="s">
        <v>31</v>
      </c>
      <c r="G28" t="s">
        <v>14</v>
      </c>
      <c r="H28" t="s">
        <v>15</v>
      </c>
      <c r="I28">
        <v>0</v>
      </c>
      <c r="J28" t="s">
        <v>16</v>
      </c>
      <c r="K28" t="s">
        <v>17</v>
      </c>
      <c r="L28">
        <v>36</v>
      </c>
      <c r="M28" t="s">
        <v>49</v>
      </c>
      <c r="N28" t="s">
        <v>15</v>
      </c>
    </row>
    <row r="29" spans="1:14" x14ac:dyDescent="0.25">
      <c r="A29">
        <v>20839</v>
      </c>
      <c r="B29" t="s">
        <v>37</v>
      </c>
      <c r="C29" t="s">
        <v>39</v>
      </c>
      <c r="D29">
        <v>30000</v>
      </c>
      <c r="E29">
        <v>3</v>
      </c>
      <c r="F29" t="s">
        <v>31</v>
      </c>
      <c r="G29" t="s">
        <v>20</v>
      </c>
      <c r="H29" t="s">
        <v>15</v>
      </c>
      <c r="I29">
        <v>0</v>
      </c>
      <c r="J29" t="s">
        <v>16</v>
      </c>
      <c r="K29" t="s">
        <v>17</v>
      </c>
      <c r="L29">
        <v>47</v>
      </c>
      <c r="M29" t="s">
        <v>49</v>
      </c>
      <c r="N29" t="s">
        <v>15</v>
      </c>
    </row>
    <row r="30" spans="1:14" x14ac:dyDescent="0.25">
      <c r="A30">
        <v>20060</v>
      </c>
      <c r="B30" t="s">
        <v>37</v>
      </c>
      <c r="C30" t="s">
        <v>39</v>
      </c>
      <c r="D30">
        <v>30000</v>
      </c>
      <c r="E30">
        <v>0</v>
      </c>
      <c r="F30" t="s">
        <v>27</v>
      </c>
      <c r="G30" t="s">
        <v>25</v>
      </c>
      <c r="H30" t="s">
        <v>18</v>
      </c>
      <c r="I30">
        <v>1</v>
      </c>
      <c r="J30" t="s">
        <v>22</v>
      </c>
      <c r="K30" t="s">
        <v>17</v>
      </c>
      <c r="L30">
        <v>34</v>
      </c>
      <c r="M30" t="s">
        <v>49</v>
      </c>
      <c r="N30" t="s">
        <v>15</v>
      </c>
    </row>
    <row r="31" spans="1:14" x14ac:dyDescent="0.25">
      <c r="A31">
        <v>16466</v>
      </c>
      <c r="B31" t="s">
        <v>37</v>
      </c>
      <c r="C31" t="s">
        <v>39</v>
      </c>
      <c r="D31">
        <v>20000</v>
      </c>
      <c r="E31">
        <v>0</v>
      </c>
      <c r="F31" t="s">
        <v>29</v>
      </c>
      <c r="G31" t="s">
        <v>25</v>
      </c>
      <c r="H31" t="s">
        <v>18</v>
      </c>
      <c r="I31">
        <v>2</v>
      </c>
      <c r="J31" t="s">
        <v>16</v>
      </c>
      <c r="K31" t="s">
        <v>17</v>
      </c>
      <c r="L31">
        <v>32</v>
      </c>
      <c r="M31" t="s">
        <v>49</v>
      </c>
      <c r="N31" t="s">
        <v>15</v>
      </c>
    </row>
    <row r="32" spans="1:14" x14ac:dyDescent="0.25">
      <c r="A32">
        <v>25693</v>
      </c>
      <c r="B32" t="s">
        <v>37</v>
      </c>
      <c r="C32" t="s">
        <v>39</v>
      </c>
      <c r="D32">
        <v>30000</v>
      </c>
      <c r="E32">
        <v>5</v>
      </c>
      <c r="F32" t="s">
        <v>31</v>
      </c>
      <c r="G32" t="s">
        <v>20</v>
      </c>
      <c r="H32" t="s">
        <v>15</v>
      </c>
      <c r="I32">
        <v>0</v>
      </c>
      <c r="J32" t="s">
        <v>16</v>
      </c>
      <c r="K32" t="s">
        <v>17</v>
      </c>
      <c r="L32">
        <v>44</v>
      </c>
      <c r="M32" t="s">
        <v>49</v>
      </c>
      <c r="N32" t="s">
        <v>15</v>
      </c>
    </row>
    <row r="33" spans="1:14" x14ac:dyDescent="0.25">
      <c r="A33">
        <v>12833</v>
      </c>
      <c r="B33" t="s">
        <v>37</v>
      </c>
      <c r="C33" t="s">
        <v>39</v>
      </c>
      <c r="D33">
        <v>20000</v>
      </c>
      <c r="E33">
        <v>3</v>
      </c>
      <c r="F33" t="s">
        <v>27</v>
      </c>
      <c r="G33" t="s">
        <v>25</v>
      </c>
      <c r="H33" t="s">
        <v>15</v>
      </c>
      <c r="I33">
        <v>1</v>
      </c>
      <c r="J33" t="s">
        <v>16</v>
      </c>
      <c r="K33" t="s">
        <v>17</v>
      </c>
      <c r="L33">
        <v>42</v>
      </c>
      <c r="M33" t="s">
        <v>49</v>
      </c>
      <c r="N33" t="s">
        <v>15</v>
      </c>
    </row>
    <row r="34" spans="1:14" x14ac:dyDescent="0.25">
      <c r="A34">
        <v>25649</v>
      </c>
      <c r="B34" t="s">
        <v>37</v>
      </c>
      <c r="C34" t="s">
        <v>39</v>
      </c>
      <c r="D34">
        <v>30000</v>
      </c>
      <c r="E34">
        <v>3</v>
      </c>
      <c r="F34" t="s">
        <v>19</v>
      </c>
      <c r="G34" t="s">
        <v>20</v>
      </c>
      <c r="H34" t="s">
        <v>15</v>
      </c>
      <c r="I34">
        <v>0</v>
      </c>
      <c r="J34" t="s">
        <v>16</v>
      </c>
      <c r="K34" t="s">
        <v>17</v>
      </c>
      <c r="L34">
        <v>42</v>
      </c>
      <c r="M34" t="s">
        <v>49</v>
      </c>
      <c r="N34" t="s">
        <v>15</v>
      </c>
    </row>
    <row r="35" spans="1:14" x14ac:dyDescent="0.25">
      <c r="A35">
        <v>22633</v>
      </c>
      <c r="B35" t="s">
        <v>37</v>
      </c>
      <c r="C35" t="s">
        <v>39</v>
      </c>
      <c r="D35">
        <v>40000</v>
      </c>
      <c r="E35">
        <v>0</v>
      </c>
      <c r="F35" t="s">
        <v>31</v>
      </c>
      <c r="G35" t="s">
        <v>20</v>
      </c>
      <c r="H35" t="s">
        <v>15</v>
      </c>
      <c r="I35">
        <v>0</v>
      </c>
      <c r="J35" t="s">
        <v>16</v>
      </c>
      <c r="K35" t="s">
        <v>17</v>
      </c>
      <c r="L35">
        <v>37</v>
      </c>
      <c r="M35" t="s">
        <v>49</v>
      </c>
      <c r="N35" t="s">
        <v>15</v>
      </c>
    </row>
    <row r="36" spans="1:14" x14ac:dyDescent="0.25">
      <c r="A36">
        <v>28729</v>
      </c>
      <c r="B36" t="s">
        <v>37</v>
      </c>
      <c r="C36" t="s">
        <v>39</v>
      </c>
      <c r="D36">
        <v>20000</v>
      </c>
      <c r="E36">
        <v>0</v>
      </c>
      <c r="F36" t="s">
        <v>29</v>
      </c>
      <c r="G36" t="s">
        <v>25</v>
      </c>
      <c r="H36" t="s">
        <v>15</v>
      </c>
      <c r="I36">
        <v>2</v>
      </c>
      <c r="J36" t="s">
        <v>26</v>
      </c>
      <c r="K36" t="s">
        <v>17</v>
      </c>
      <c r="L36">
        <v>26</v>
      </c>
      <c r="M36" t="s">
        <v>47</v>
      </c>
      <c r="N36" t="s">
        <v>15</v>
      </c>
    </row>
    <row r="37" spans="1:14" x14ac:dyDescent="0.25">
      <c r="A37">
        <v>25605</v>
      </c>
      <c r="B37" t="s">
        <v>37</v>
      </c>
      <c r="C37" t="s">
        <v>39</v>
      </c>
      <c r="D37">
        <v>20000</v>
      </c>
      <c r="E37">
        <v>2</v>
      </c>
      <c r="F37" t="s">
        <v>19</v>
      </c>
      <c r="G37" t="s">
        <v>25</v>
      </c>
      <c r="H37" t="s">
        <v>18</v>
      </c>
      <c r="I37">
        <v>1</v>
      </c>
      <c r="J37" t="s">
        <v>16</v>
      </c>
      <c r="K37" t="s">
        <v>17</v>
      </c>
      <c r="L37">
        <v>54</v>
      </c>
      <c r="M37" t="s">
        <v>49</v>
      </c>
      <c r="N37" t="s">
        <v>15</v>
      </c>
    </row>
    <row r="38" spans="1:14" x14ac:dyDescent="0.25">
      <c r="A38">
        <v>14798</v>
      </c>
      <c r="B38" t="s">
        <v>37</v>
      </c>
      <c r="C38" t="s">
        <v>39</v>
      </c>
      <c r="D38">
        <v>10000</v>
      </c>
      <c r="E38">
        <v>4</v>
      </c>
      <c r="F38" t="s">
        <v>29</v>
      </c>
      <c r="G38" t="s">
        <v>25</v>
      </c>
      <c r="H38" t="s">
        <v>15</v>
      </c>
      <c r="I38">
        <v>2</v>
      </c>
      <c r="J38" t="s">
        <v>16</v>
      </c>
      <c r="K38" t="s">
        <v>17</v>
      </c>
      <c r="L38">
        <v>41</v>
      </c>
      <c r="M38" t="s">
        <v>49</v>
      </c>
      <c r="N38" t="s">
        <v>15</v>
      </c>
    </row>
    <row r="39" spans="1:14" x14ac:dyDescent="0.25">
      <c r="A39">
        <v>28683</v>
      </c>
      <c r="B39" t="s">
        <v>37</v>
      </c>
      <c r="C39" t="s">
        <v>39</v>
      </c>
      <c r="D39">
        <v>10000</v>
      </c>
      <c r="E39">
        <v>1</v>
      </c>
      <c r="F39" t="s">
        <v>27</v>
      </c>
      <c r="G39" t="s">
        <v>25</v>
      </c>
      <c r="H39" t="s">
        <v>18</v>
      </c>
      <c r="I39">
        <v>1</v>
      </c>
      <c r="J39" t="s">
        <v>23</v>
      </c>
      <c r="K39" t="s">
        <v>17</v>
      </c>
      <c r="L39">
        <v>35</v>
      </c>
      <c r="M39" t="s">
        <v>49</v>
      </c>
      <c r="N39" t="s">
        <v>15</v>
      </c>
    </row>
    <row r="40" spans="1:14" x14ac:dyDescent="0.25">
      <c r="A40">
        <v>27775</v>
      </c>
      <c r="B40" t="s">
        <v>37</v>
      </c>
      <c r="C40" t="s">
        <v>39</v>
      </c>
      <c r="D40">
        <v>40000</v>
      </c>
      <c r="E40">
        <v>0</v>
      </c>
      <c r="F40" t="s">
        <v>13</v>
      </c>
      <c r="G40" t="s">
        <v>20</v>
      </c>
      <c r="H40" t="s">
        <v>18</v>
      </c>
      <c r="I40">
        <v>0</v>
      </c>
      <c r="J40" t="s">
        <v>16</v>
      </c>
      <c r="K40" t="s">
        <v>17</v>
      </c>
      <c r="L40">
        <v>38</v>
      </c>
      <c r="M40" t="s">
        <v>49</v>
      </c>
      <c r="N40" t="s">
        <v>15</v>
      </c>
    </row>
    <row r="41" spans="1:14" x14ac:dyDescent="0.25">
      <c r="A41">
        <v>16259</v>
      </c>
      <c r="B41" t="s">
        <v>37</v>
      </c>
      <c r="C41" t="s">
        <v>39</v>
      </c>
      <c r="D41">
        <v>10000</v>
      </c>
      <c r="E41">
        <v>4</v>
      </c>
      <c r="F41" t="s">
        <v>29</v>
      </c>
      <c r="G41" t="s">
        <v>25</v>
      </c>
      <c r="H41" t="s">
        <v>15</v>
      </c>
      <c r="I41">
        <v>2</v>
      </c>
      <c r="J41" t="s">
        <v>16</v>
      </c>
      <c r="K41" t="s">
        <v>17</v>
      </c>
      <c r="L41">
        <v>40</v>
      </c>
      <c r="M41" t="s">
        <v>49</v>
      </c>
      <c r="N41" t="s">
        <v>15</v>
      </c>
    </row>
    <row r="42" spans="1:14" x14ac:dyDescent="0.25">
      <c r="A42">
        <v>24065</v>
      </c>
      <c r="B42" t="s">
        <v>37</v>
      </c>
      <c r="C42" t="s">
        <v>39</v>
      </c>
      <c r="D42">
        <v>20000</v>
      </c>
      <c r="E42">
        <v>0</v>
      </c>
      <c r="F42" t="s">
        <v>27</v>
      </c>
      <c r="G42" t="s">
        <v>25</v>
      </c>
      <c r="H42" t="s">
        <v>15</v>
      </c>
      <c r="I42">
        <v>0</v>
      </c>
      <c r="J42" t="s">
        <v>16</v>
      </c>
      <c r="K42" t="s">
        <v>17</v>
      </c>
      <c r="L42">
        <v>40</v>
      </c>
      <c r="M42" t="s">
        <v>49</v>
      </c>
      <c r="N42" t="s">
        <v>15</v>
      </c>
    </row>
    <row r="43" spans="1:14" x14ac:dyDescent="0.25">
      <c r="A43">
        <v>21006</v>
      </c>
      <c r="B43" t="s">
        <v>37</v>
      </c>
      <c r="C43" t="s">
        <v>39</v>
      </c>
      <c r="D43">
        <v>30000</v>
      </c>
      <c r="E43">
        <v>1</v>
      </c>
      <c r="F43" t="s">
        <v>19</v>
      </c>
      <c r="G43" t="s">
        <v>25</v>
      </c>
      <c r="H43" t="s">
        <v>18</v>
      </c>
      <c r="I43">
        <v>0</v>
      </c>
      <c r="J43" t="s">
        <v>16</v>
      </c>
      <c r="K43" t="s">
        <v>17</v>
      </c>
      <c r="L43">
        <v>46</v>
      </c>
      <c r="M43" t="s">
        <v>49</v>
      </c>
      <c r="N43" t="s">
        <v>15</v>
      </c>
    </row>
    <row r="44" spans="1:14" x14ac:dyDescent="0.25">
      <c r="A44">
        <v>26886</v>
      </c>
      <c r="B44" t="s">
        <v>37</v>
      </c>
      <c r="C44" t="s">
        <v>39</v>
      </c>
      <c r="D44">
        <v>30000</v>
      </c>
      <c r="E44">
        <v>0</v>
      </c>
      <c r="F44" t="s">
        <v>19</v>
      </c>
      <c r="G44" t="s">
        <v>20</v>
      </c>
      <c r="H44" t="s">
        <v>18</v>
      </c>
      <c r="I44">
        <v>1</v>
      </c>
      <c r="J44" t="s">
        <v>16</v>
      </c>
      <c r="K44" t="s">
        <v>17</v>
      </c>
      <c r="L44">
        <v>29</v>
      </c>
      <c r="M44" t="s">
        <v>47</v>
      </c>
      <c r="N44" t="s">
        <v>15</v>
      </c>
    </row>
    <row r="45" spans="1:14" x14ac:dyDescent="0.25">
      <c r="A45">
        <v>26956</v>
      </c>
      <c r="B45" t="s">
        <v>37</v>
      </c>
      <c r="C45" t="s">
        <v>39</v>
      </c>
      <c r="D45">
        <v>20000</v>
      </c>
      <c r="E45">
        <v>0</v>
      </c>
      <c r="F45" t="s">
        <v>19</v>
      </c>
      <c r="G45" t="s">
        <v>25</v>
      </c>
      <c r="H45" t="s">
        <v>18</v>
      </c>
      <c r="I45">
        <v>1</v>
      </c>
      <c r="J45" t="s">
        <v>22</v>
      </c>
      <c r="K45" t="s">
        <v>17</v>
      </c>
      <c r="L45">
        <v>36</v>
      </c>
      <c r="M45" t="s">
        <v>49</v>
      </c>
      <c r="N45" t="s">
        <v>15</v>
      </c>
    </row>
    <row r="46" spans="1:14" x14ac:dyDescent="0.25">
      <c r="A46">
        <v>14813</v>
      </c>
      <c r="B46" t="s">
        <v>37</v>
      </c>
      <c r="C46" t="s">
        <v>39</v>
      </c>
      <c r="D46">
        <v>20000</v>
      </c>
      <c r="E46">
        <v>4</v>
      </c>
      <c r="F46" t="s">
        <v>27</v>
      </c>
      <c r="G46" t="s">
        <v>25</v>
      </c>
      <c r="H46" t="s">
        <v>15</v>
      </c>
      <c r="I46">
        <v>1</v>
      </c>
      <c r="J46" t="s">
        <v>16</v>
      </c>
      <c r="K46" t="s">
        <v>17</v>
      </c>
      <c r="L46">
        <v>43</v>
      </c>
      <c r="M46" t="s">
        <v>49</v>
      </c>
      <c r="N46"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B864-89B0-4806-8326-0BEA5B92CBE1}">
  <dimension ref="A3:D49"/>
  <sheetViews>
    <sheetView topLeftCell="A19" workbookViewId="0">
      <selection activeCell="C11" sqref="C11"/>
    </sheetView>
  </sheetViews>
  <sheetFormatPr defaultRowHeight="15" x14ac:dyDescent="0.25"/>
  <cols>
    <col min="1" max="1" width="13.140625" bestFit="1" customWidth="1"/>
    <col min="2" max="2" width="16.28515625" bestFit="1" customWidth="1"/>
    <col min="3" max="3" width="8.5703125" bestFit="1" customWidth="1"/>
    <col min="4" max="4" width="11.28515625" bestFit="1" customWidth="1"/>
  </cols>
  <sheetData>
    <row r="3" spans="1:4" x14ac:dyDescent="0.25">
      <c r="A3" s="5" t="s">
        <v>43</v>
      </c>
      <c r="B3" s="5" t="s">
        <v>44</v>
      </c>
    </row>
    <row r="4" spans="1:4" x14ac:dyDescent="0.25">
      <c r="A4" s="5" t="s">
        <v>2</v>
      </c>
      <c r="B4" s="7" t="s">
        <v>18</v>
      </c>
      <c r="C4" t="s">
        <v>15</v>
      </c>
      <c r="D4" t="s">
        <v>42</v>
      </c>
    </row>
    <row r="5" spans="1:4" x14ac:dyDescent="0.25">
      <c r="A5" s="6" t="s">
        <v>39</v>
      </c>
      <c r="B5" s="7">
        <v>35777.777777777781</v>
      </c>
      <c r="C5" s="7">
        <v>28444.444444444445</v>
      </c>
      <c r="D5" s="7">
        <v>32111.111111111109</v>
      </c>
    </row>
    <row r="6" spans="1:4" x14ac:dyDescent="0.25">
      <c r="A6" s="6" t="s">
        <v>38</v>
      </c>
      <c r="B6" s="7">
        <v>31351.35135135135</v>
      </c>
      <c r="C6" s="7">
        <v>38000</v>
      </c>
      <c r="D6" s="4">
        <v>34583.333333333336</v>
      </c>
    </row>
    <row r="7" spans="1:4" x14ac:dyDescent="0.25">
      <c r="A7" s="6" t="s">
        <v>42</v>
      </c>
      <c r="B7" s="7">
        <v>33780.487804878052</v>
      </c>
      <c r="C7" s="7">
        <v>32625</v>
      </c>
      <c r="D7" s="7">
        <v>33209.876543209873</v>
      </c>
    </row>
    <row r="19" spans="1:4" x14ac:dyDescent="0.25">
      <c r="A19" s="5" t="s">
        <v>45</v>
      </c>
      <c r="B19" s="5" t="s">
        <v>44</v>
      </c>
    </row>
    <row r="20" spans="1:4" x14ac:dyDescent="0.25">
      <c r="A20" s="5" t="s">
        <v>41</v>
      </c>
      <c r="B20" t="s">
        <v>18</v>
      </c>
      <c r="C20" t="s">
        <v>15</v>
      </c>
      <c r="D20" t="s">
        <v>42</v>
      </c>
    </row>
    <row r="21" spans="1:4" x14ac:dyDescent="0.25">
      <c r="A21" s="6" t="s">
        <v>16</v>
      </c>
      <c r="B21" s="4">
        <v>35</v>
      </c>
      <c r="C21" s="4">
        <v>55</v>
      </c>
      <c r="D21" s="4">
        <v>90</v>
      </c>
    </row>
    <row r="22" spans="1:4" x14ac:dyDescent="0.25">
      <c r="A22" s="6" t="s">
        <v>26</v>
      </c>
      <c r="B22" s="4">
        <v>15</v>
      </c>
      <c r="C22" s="4">
        <v>12</v>
      </c>
      <c r="D22" s="4">
        <v>27</v>
      </c>
    </row>
    <row r="23" spans="1:4" x14ac:dyDescent="0.25">
      <c r="A23" s="6" t="s">
        <v>22</v>
      </c>
      <c r="B23" s="4">
        <v>19</v>
      </c>
      <c r="C23" s="4">
        <v>11</v>
      </c>
      <c r="D23" s="4">
        <v>30</v>
      </c>
    </row>
    <row r="24" spans="1:4" x14ac:dyDescent="0.25">
      <c r="A24" s="6" t="s">
        <v>23</v>
      </c>
      <c r="B24" s="4">
        <v>6</v>
      </c>
      <c r="C24" s="4">
        <v>2</v>
      </c>
      <c r="D24" s="4">
        <v>8</v>
      </c>
    </row>
    <row r="25" spans="1:4" x14ac:dyDescent="0.25">
      <c r="A25" s="6" t="s">
        <v>46</v>
      </c>
      <c r="B25" s="4">
        <v>7</v>
      </c>
      <c r="C25" s="4"/>
      <c r="D25" s="4">
        <v>7</v>
      </c>
    </row>
    <row r="26" spans="1:4" x14ac:dyDescent="0.25">
      <c r="A26" s="6" t="s">
        <v>42</v>
      </c>
      <c r="B26" s="4">
        <v>82</v>
      </c>
      <c r="C26" s="4">
        <v>80</v>
      </c>
      <c r="D26" s="4">
        <v>162</v>
      </c>
    </row>
    <row r="37" spans="1:4" x14ac:dyDescent="0.25">
      <c r="A37" s="5" t="s">
        <v>45</v>
      </c>
      <c r="B37" s="5" t="s">
        <v>44</v>
      </c>
    </row>
    <row r="38" spans="1:4" x14ac:dyDescent="0.25">
      <c r="A38" s="5" t="s">
        <v>41</v>
      </c>
      <c r="B38" t="s">
        <v>18</v>
      </c>
      <c r="C38" t="s">
        <v>15</v>
      </c>
      <c r="D38" t="s">
        <v>42</v>
      </c>
    </row>
    <row r="39" spans="1:4" x14ac:dyDescent="0.25">
      <c r="A39" s="6" t="s">
        <v>47</v>
      </c>
      <c r="B39" s="4">
        <v>21</v>
      </c>
      <c r="C39" s="4">
        <v>9</v>
      </c>
      <c r="D39" s="4">
        <v>30</v>
      </c>
    </row>
    <row r="40" spans="1:4" x14ac:dyDescent="0.25">
      <c r="A40" s="6" t="s">
        <v>49</v>
      </c>
      <c r="B40" s="4">
        <v>50</v>
      </c>
      <c r="C40" s="4">
        <v>69</v>
      </c>
      <c r="D40" s="4">
        <v>119</v>
      </c>
    </row>
    <row r="41" spans="1:4" x14ac:dyDescent="0.25">
      <c r="A41" s="6" t="s">
        <v>48</v>
      </c>
      <c r="B41" s="4">
        <v>11</v>
      </c>
      <c r="C41" s="4">
        <v>2</v>
      </c>
      <c r="D41" s="4">
        <v>13</v>
      </c>
    </row>
    <row r="42" spans="1:4" x14ac:dyDescent="0.25">
      <c r="A42" s="6" t="s">
        <v>42</v>
      </c>
      <c r="B42" s="4">
        <v>82</v>
      </c>
      <c r="C42" s="4">
        <v>80</v>
      </c>
      <c r="D42" s="4">
        <v>162</v>
      </c>
    </row>
    <row r="46" spans="1:4" x14ac:dyDescent="0.25">
      <c r="A46" s="5" t="s">
        <v>50</v>
      </c>
      <c r="B46" s="5" t="s">
        <v>44</v>
      </c>
    </row>
    <row r="47" spans="1:4" x14ac:dyDescent="0.25">
      <c r="A47" s="5" t="s">
        <v>41</v>
      </c>
      <c r="B47" t="s">
        <v>18</v>
      </c>
      <c r="C47" t="s">
        <v>15</v>
      </c>
      <c r="D47" t="s">
        <v>42</v>
      </c>
    </row>
    <row r="48" spans="1:4" x14ac:dyDescent="0.25">
      <c r="A48" s="6" t="s">
        <v>37</v>
      </c>
      <c r="B48" s="4">
        <v>82</v>
      </c>
      <c r="C48" s="4">
        <v>80</v>
      </c>
      <c r="D48" s="4">
        <v>162</v>
      </c>
    </row>
    <row r="49" spans="1:4" x14ac:dyDescent="0.25">
      <c r="A49" s="6" t="s">
        <v>42</v>
      </c>
      <c r="B49" s="4">
        <v>82</v>
      </c>
      <c r="C49" s="4">
        <v>80</v>
      </c>
      <c r="D49" s="4">
        <v>162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094B-E89D-4A18-A185-D894BC0A72D0}">
  <dimension ref="A1:P5"/>
  <sheetViews>
    <sheetView showGridLines="0" zoomScaleNormal="100" workbookViewId="0">
      <selection activeCell="S20" sqref="S20"/>
    </sheetView>
  </sheetViews>
  <sheetFormatPr defaultRowHeight="15" x14ac:dyDescent="0.25"/>
  <sheetData>
    <row r="1" spans="1:16" ht="15" customHeight="1" x14ac:dyDescent="0.25">
      <c r="A1" s="8" t="s">
        <v>51</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row r="5" spans="1:16" x14ac:dyDescent="0.25">
      <c r="A5" s="8"/>
      <c r="B5" s="8"/>
      <c r="C5" s="8"/>
      <c r="D5" s="8"/>
      <c r="E5" s="8"/>
      <c r="F5" s="8"/>
      <c r="G5" s="8"/>
      <c r="H5" s="8"/>
      <c r="I5" s="8"/>
      <c r="J5" s="8"/>
      <c r="K5" s="8"/>
      <c r="L5" s="8"/>
      <c r="M5" s="8"/>
      <c r="N5" s="8"/>
      <c r="O5" s="8"/>
      <c r="P5" s="8"/>
    </row>
  </sheetData>
  <mergeCells count="1">
    <mergeCell ref="A1:P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2026-03-23T17:10:52Z</dcterms:modified>
</cp:coreProperties>
</file>